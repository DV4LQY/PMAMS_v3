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IS_4LQY_PC\OneDrive\Documents\"/>
    </mc:Choice>
  </mc:AlternateContent>
  <xr:revisionPtr revIDLastSave="1" documentId="11_A654DA166B808ABE93DB778BEC0B8A0E1A46DE11" xr6:coauthVersionLast="36" xr6:coauthVersionMax="36" xr10:uidLastSave="{B8A05A53-BA43-43ED-AFD7-46B360E2B170}"/>
  <bookViews>
    <workbookView xWindow="0" yWindow="0" windowWidth="17976" windowHeight="6060" xr2:uid="{00000000-000D-0000-FFFF-FFFF00000000}"/>
  </bookViews>
  <sheets>
    <sheet name="QO" sheetId="13" r:id="rId1"/>
    <sheet name="PMC June" sheetId="12" r:id="rId2"/>
  </sheets>
  <definedNames>
    <definedName name="_xlnm.Print_Area" localSheetId="0">QO!$A$1:$L$92</definedName>
    <definedName name="_xlnm.Print_Titles" localSheetId="0">QO!$1:$13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7" i="13" l="1"/>
  <c r="D28" i="12" l="1"/>
  <c r="D30" i="12" s="1"/>
  <c r="C30" i="12"/>
</calcChain>
</file>

<file path=xl/sharedStrings.xml><?xml version="1.0" encoding="utf-8"?>
<sst xmlns="http://schemas.openxmlformats.org/spreadsheetml/2006/main" count="60" uniqueCount="54">
  <si>
    <t>Actual</t>
  </si>
  <si>
    <t>Target</t>
  </si>
  <si>
    <t>Status</t>
  </si>
  <si>
    <t>Prepared by:</t>
  </si>
  <si>
    <t>Certified Correct:</t>
  </si>
  <si>
    <t>QUALITY OBJECTIVE MONITORING SUPPORTING SCHEDULE</t>
  </si>
  <si>
    <t xml:space="preserve">NAME OF OFFICE/UNIT </t>
  </si>
  <si>
    <t>Target no. of Computers &amp; Peripherals for check-up/ maintenance</t>
  </si>
  <si>
    <t>Remarks</t>
  </si>
  <si>
    <t>Complied</t>
  </si>
  <si>
    <t>Not Complied</t>
  </si>
  <si>
    <t>Percentage of Accomplishment</t>
  </si>
  <si>
    <t>JENNY Z. DE LEON</t>
  </si>
  <si>
    <t>Administrative Aide VI</t>
  </si>
  <si>
    <t>INFORMATION and COMMUNICATIONS TECHNOLOGY UNIT</t>
  </si>
  <si>
    <t>Republic of the Philippines</t>
  </si>
  <si>
    <t>CATANDUANES STATE UNIVERSITY</t>
  </si>
  <si>
    <t>Virac, Catanduanes</t>
  </si>
  <si>
    <t xml:space="preserve">Performance Monitoring </t>
  </si>
  <si>
    <r>
      <rPr>
        <b/>
        <sz val="9"/>
        <rFont val="Arial"/>
        <family val="2"/>
      </rPr>
      <t>Quality Objective No. I :</t>
    </r>
    <r>
      <rPr>
        <b/>
        <u/>
        <sz val="9"/>
        <rFont val="Arial"/>
        <family val="2"/>
      </rPr>
      <t xml:space="preserve"> Ensure efficient maintenance of IT equipments and peripherals.</t>
    </r>
  </si>
  <si>
    <r>
      <rPr>
        <b/>
        <sz val="9"/>
        <color theme="1"/>
        <rFont val="Arial"/>
        <family val="2"/>
      </rPr>
      <t xml:space="preserve">Target: </t>
    </r>
    <r>
      <rPr>
        <b/>
        <u/>
        <sz val="9"/>
        <color theme="1"/>
        <rFont val="Arial"/>
        <family val="2"/>
      </rPr>
      <t>90%</t>
    </r>
  </si>
  <si>
    <t>JAY-R R. REDITA, MIT</t>
  </si>
  <si>
    <t>ITO I, ICT Unit</t>
  </si>
  <si>
    <t>Rev. 2</t>
  </si>
  <si>
    <t>Effectivity: March 10, 2025</t>
  </si>
  <si>
    <t>CatSU-F-PMC-01C</t>
  </si>
  <si>
    <t>(Actual data)</t>
  </si>
  <si>
    <t xml:space="preserve">(Baseline) </t>
  </si>
  <si>
    <r>
      <rPr>
        <b/>
        <i/>
        <sz val="10"/>
        <rFont val="Arial"/>
        <family val="2"/>
      </rPr>
      <t>Quality Objective No. I</t>
    </r>
    <r>
      <rPr>
        <i/>
        <sz val="10"/>
        <rFont val="Arial"/>
        <family val="2"/>
      </rPr>
      <t xml:space="preserve">: </t>
    </r>
    <r>
      <rPr>
        <i/>
        <u/>
        <sz val="10"/>
        <rFont val="Arial"/>
        <family val="2"/>
      </rPr>
      <t xml:space="preserve">Ensure efficient maintenance of IT equipment and peripherals </t>
    </r>
  </si>
  <si>
    <r>
      <rPr>
        <b/>
        <i/>
        <sz val="10"/>
        <rFont val="Arial"/>
        <family val="2"/>
      </rPr>
      <t>Target</t>
    </r>
    <r>
      <rPr>
        <i/>
        <sz val="10"/>
        <rFont val="Arial"/>
        <family val="2"/>
      </rPr>
      <t xml:space="preserve">: </t>
    </r>
    <r>
      <rPr>
        <i/>
        <u/>
        <sz val="10"/>
        <rFont val="Arial"/>
        <family val="2"/>
      </rPr>
      <t xml:space="preserve">90% </t>
    </r>
  </si>
  <si>
    <r>
      <t>1</t>
    </r>
    <r>
      <rPr>
        <b/>
        <vertAlign val="superscript"/>
        <sz val="10"/>
        <color theme="1"/>
        <rFont val="Arial"/>
        <family val="2"/>
      </rPr>
      <t>st</t>
    </r>
    <r>
      <rPr>
        <b/>
        <sz val="10"/>
        <color theme="1"/>
        <rFont val="Arial"/>
        <family val="2"/>
      </rPr>
      <t xml:space="preserve"> Semi-Annually (January-June)</t>
    </r>
  </si>
  <si>
    <r>
      <t>2</t>
    </r>
    <r>
      <rPr>
        <b/>
        <vertAlign val="superscript"/>
        <sz val="10"/>
        <color theme="1"/>
        <rFont val="Arial"/>
        <family val="2"/>
      </rPr>
      <t>nd</t>
    </r>
    <r>
      <rPr>
        <b/>
        <sz val="10"/>
        <color theme="1"/>
        <rFont val="Arial"/>
        <family val="2"/>
      </rPr>
      <t xml:space="preserve"> Semi-Annually (July-December)</t>
    </r>
  </si>
  <si>
    <t>Actual no. of Computers &amp; Peripherals   maintained</t>
  </si>
  <si>
    <t>No. of IT equipment &amp; peripherals checked</t>
  </si>
  <si>
    <t>Total no. of IT equipment &amp; peripherals to be ckecked/maintained</t>
  </si>
  <si>
    <t>For 1st Semi-Annually , CY 2026</t>
  </si>
  <si>
    <t>For 1st Semi-Annually, CY 2026</t>
  </si>
  <si>
    <t>No. of Unserviceable Equipment (Not in use)</t>
  </si>
  <si>
    <t xml:space="preserve">Date of  maintenance/ check-up conducted </t>
  </si>
  <si>
    <t>Additional Computers &amp; Peripherals 
(newly procured units)</t>
  </si>
  <si>
    <t>No. of Condemn ICT Equipment (Returned to Supply)</t>
  </si>
  <si>
    <t>Additional Units Added within  the preventive schedule</t>
  </si>
  <si>
    <t>Counts of Unserviceable (not in use and repair)</t>
  </si>
  <si>
    <t>Counts of condemn Equipment</t>
  </si>
  <si>
    <t>Transferred computers</t>
  </si>
  <si>
    <t>IN</t>
  </si>
  <si>
    <t>OUT</t>
  </si>
  <si>
    <t>Counts of transferred computers 
Transferred Inside the office/ Transferred Outside the office</t>
  </si>
  <si>
    <t>Date of actual maintenance</t>
  </si>
  <si>
    <t>parameters/ Prompt in the system (do not show this in the exported report)</t>
  </si>
  <si>
    <t>if Actual no. of Computers &amp; Peripherals   maintained is equal or greater that 90 %
put green check</t>
  </si>
  <si>
    <t>if Actual no. of Computers &amp; Peripherals   maintained is equal or greater that 90 %
put red  Ex</t>
  </si>
  <si>
    <t>Number of Desktop in Office regardless of condition/status except for condemn</t>
  </si>
  <si>
    <t>Actual No, of Computers &amp; peripherals Maintained base in PM Plan
(regardless of condition/status except for condemn) plus the transferred computers IN and Minus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</si>
</sst>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u/>
      <sz val="11"/>
      <name val="Arial"/>
      <family val="2"/>
    </font>
    <font>
      <b/>
      <u/>
      <sz val="11"/>
      <color indexed="8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u/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70C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1" fillId="0" borderId="0"/>
  </cellStyleXfs>
  <cellXfs count="149">
    <xf numFmtId="0" fontId="0" fillId="0" borderId="0" xfId="0"/>
    <xf numFmtId="0" fontId="4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9" fillId="0" borderId="0" xfId="0" applyFont="1"/>
    <xf numFmtId="0" fontId="0" fillId="0" borderId="0" xfId="0" applyAlignment="1">
      <alignment vertical="top"/>
    </xf>
    <xf numFmtId="9" fontId="11" fillId="0" borderId="0" xfId="2" applyFont="1" applyFill="1" applyAlignment="1">
      <alignment horizontal="center" vertical="top" wrapText="1"/>
    </xf>
    <xf numFmtId="0" fontId="11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left" vertical="top" wrapText="1"/>
    </xf>
    <xf numFmtId="1" fontId="11" fillId="0" borderId="3" xfId="0" applyNumberFormat="1" applyFont="1" applyBorder="1" applyAlignment="1">
      <alignment horizontal="center" vertical="top"/>
    </xf>
    <xf numFmtId="14" fontId="11" fillId="0" borderId="3" xfId="0" applyNumberFormat="1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 wrapText="1"/>
    </xf>
    <xf numFmtId="49" fontId="11" fillId="0" borderId="0" xfId="0" applyNumberFormat="1" applyFont="1" applyAlignment="1">
      <alignment horizontal="center" vertical="top"/>
    </xf>
    <xf numFmtId="0" fontId="11" fillId="0" borderId="0" xfId="0" applyFont="1" applyAlignment="1">
      <alignment vertical="top" wrapText="1"/>
    </xf>
    <xf numFmtId="49" fontId="11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indent="1"/>
    </xf>
    <xf numFmtId="0" fontId="7" fillId="0" borderId="3" xfId="0" applyFont="1" applyBorder="1" applyAlignment="1">
      <alignment horizontal="left" vertical="center" indent="1"/>
    </xf>
    <xf numFmtId="1" fontId="16" fillId="0" borderId="3" xfId="0" applyNumberFormat="1" applyFont="1" applyBorder="1" applyAlignment="1">
      <alignment horizontal="center" vertical="top"/>
    </xf>
    <xf numFmtId="0" fontId="6" fillId="0" borderId="3" xfId="3" applyFont="1" applyBorder="1" applyAlignment="1">
      <alignment horizontal="left" vertical="center" wrapText="1"/>
    </xf>
    <xf numFmtId="0" fontId="11" fillId="0" borderId="4" xfId="0" applyFont="1" applyBorder="1" applyAlignment="1">
      <alignment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14" fontId="11" fillId="0" borderId="3" xfId="0" applyNumberFormat="1" applyFont="1" applyBorder="1" applyAlignment="1">
      <alignment horizontal="center" vertical="center" wrapText="1"/>
    </xf>
    <xf numFmtId="14" fontId="11" fillId="0" borderId="3" xfId="0" quotePrefix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horizontal="left"/>
    </xf>
    <xf numFmtId="0" fontId="2" fillId="0" borderId="0" xfId="3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left"/>
    </xf>
    <xf numFmtId="0" fontId="27" fillId="0" borderId="0" xfId="0" applyFont="1"/>
    <xf numFmtId="9" fontId="7" fillId="4" borderId="3" xfId="0" applyNumberFormat="1" applyFont="1" applyFill="1" applyBorder="1" applyAlignment="1" applyProtection="1">
      <alignment horizontal="center" vertical="center"/>
      <protection locked="0"/>
    </xf>
    <xf numFmtId="0" fontId="25" fillId="3" borderId="3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top"/>
    </xf>
    <xf numFmtId="0" fontId="25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8" fillId="0" borderId="0" xfId="0" applyFont="1"/>
    <xf numFmtId="0" fontId="28" fillId="0" borderId="0" xfId="0" applyFont="1" applyAlignment="1">
      <alignment horizontal="center"/>
    </xf>
    <xf numFmtId="49" fontId="11" fillId="0" borderId="0" xfId="0" applyNumberFormat="1" applyFont="1" applyAlignment="1">
      <alignment horizontal="center" vertical="top" wrapText="1"/>
    </xf>
    <xf numFmtId="9" fontId="16" fillId="0" borderId="0" xfId="2" applyFont="1" applyFill="1" applyBorder="1" applyAlignment="1">
      <alignment horizontal="center" vertical="top"/>
    </xf>
    <xf numFmtId="9" fontId="11" fillId="0" borderId="0" xfId="2" applyFont="1" applyFill="1" applyBorder="1" applyAlignment="1">
      <alignment horizontal="center" vertical="top" wrapText="1"/>
    </xf>
    <xf numFmtId="1" fontId="16" fillId="0" borderId="0" xfId="0" applyNumberFormat="1" applyFont="1" applyAlignment="1">
      <alignment horizontal="center" vertical="top"/>
    </xf>
    <xf numFmtId="1" fontId="16" fillId="0" borderId="5" xfId="0" applyNumberFormat="1" applyFont="1" applyBorder="1" applyAlignment="1">
      <alignment horizontal="center" vertical="top"/>
    </xf>
    <xf numFmtId="0" fontId="7" fillId="0" borderId="1" xfId="0" applyFont="1" applyBorder="1" applyAlignment="1" applyProtection="1">
      <alignment horizontal="center" vertical="center"/>
      <protection locked="0"/>
    </xf>
    <xf numFmtId="9" fontId="7" fillId="2" borderId="1" xfId="1" applyFont="1" applyFill="1" applyBorder="1" applyAlignment="1" applyProtection="1">
      <alignment horizontal="center" vertical="center"/>
    </xf>
    <xf numFmtId="9" fontId="7" fillId="4" borderId="1" xfId="0" applyNumberFormat="1" applyFont="1" applyFill="1" applyBorder="1" applyAlignment="1" applyProtection="1">
      <alignment horizontal="center" vertical="center"/>
      <protection locked="0"/>
    </xf>
    <xf numFmtId="0" fontId="25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1" fontId="16" fillId="0" borderId="0" xfId="0" applyNumberFormat="1" applyFont="1" applyBorder="1" applyAlignment="1">
      <alignment horizontal="center" vertical="top"/>
    </xf>
    <xf numFmtId="14" fontId="31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9" fontId="31" fillId="0" borderId="3" xfId="0" applyNumberFormat="1" applyFont="1" applyBorder="1" applyAlignment="1">
      <alignment horizontal="center" vertical="center" wrapText="1"/>
    </xf>
    <xf numFmtId="49" fontId="31" fillId="0" borderId="3" xfId="0" applyNumberFormat="1" applyFont="1" applyBorder="1" applyAlignment="1">
      <alignment horizontal="center" vertical="top"/>
    </xf>
    <xf numFmtId="0" fontId="9" fillId="0" borderId="6" xfId="0" applyFont="1" applyBorder="1" applyAlignment="1">
      <alignment horizontal="left" vertical="center" indent="1"/>
    </xf>
    <xf numFmtId="0" fontId="16" fillId="0" borderId="6" xfId="0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indent="1"/>
    </xf>
    <xf numFmtId="0" fontId="9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center" vertical="center" wrapText="1"/>
    </xf>
    <xf numFmtId="14" fontId="11" fillId="0" borderId="14" xfId="0" applyNumberFormat="1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indent="1"/>
    </xf>
    <xf numFmtId="0" fontId="31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indent="1"/>
    </xf>
    <xf numFmtId="0" fontId="16" fillId="0" borderId="9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indent="1"/>
    </xf>
    <xf numFmtId="0" fontId="16" fillId="0" borderId="8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 wrapText="1" indent="1"/>
    </xf>
    <xf numFmtId="0" fontId="16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vertical="center"/>
    </xf>
    <xf numFmtId="0" fontId="9" fillId="0" borderId="11" xfId="0" applyFont="1" applyBorder="1" applyAlignment="1">
      <alignment horizontal="left" vertical="top" wrapText="1" indent="1"/>
    </xf>
    <xf numFmtId="0" fontId="11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 indent="1"/>
    </xf>
    <xf numFmtId="14" fontId="11" fillId="0" borderId="6" xfId="0" quotePrefix="1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indent="1"/>
    </xf>
    <xf numFmtId="0" fontId="11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9" fontId="11" fillId="0" borderId="0" xfId="2" applyFont="1" applyFill="1" applyBorder="1" applyAlignment="1">
      <alignment horizontal="center" vertical="top" wrapText="1"/>
    </xf>
    <xf numFmtId="49" fontId="20" fillId="0" borderId="0" xfId="0" applyNumberFormat="1" applyFont="1" applyAlignment="1">
      <alignment horizontal="center" vertical="top"/>
    </xf>
    <xf numFmtId="49" fontId="17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28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2" fillId="0" borderId="0" xfId="3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5" borderId="0" xfId="0" applyFont="1" applyFill="1"/>
    <xf numFmtId="0" fontId="14" fillId="5" borderId="3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center" vertical="top" wrapText="1"/>
    </xf>
    <xf numFmtId="0" fontId="14" fillId="5" borderId="2" xfId="0" applyFont="1" applyFill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top" wrapText="1"/>
    </xf>
    <xf numFmtId="0" fontId="16" fillId="0" borderId="19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center"/>
    </xf>
    <xf numFmtId="0" fontId="22" fillId="0" borderId="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</cellXfs>
  <cellStyles count="4">
    <cellStyle name="Normal" xfId="0" builtinId="0"/>
    <cellStyle name="Normal 2" xfId="3" xr:uid="{00000000-0005-0000-0000-000001000000}"/>
    <cellStyle name="Percent" xfId="1" builtinId="5"/>
    <cellStyle name="Percent 2" xfId="2" xr:uid="{00000000-0005-0000-0000-000003000000}"/>
  </cellStyles>
  <dxfs count="2">
    <dxf>
      <font>
        <color rgb="FF9C0006"/>
      </font>
      <fill>
        <patternFill>
          <bgColor rgb="FFFFCC00"/>
        </patternFill>
      </fill>
    </dxf>
    <dxf>
      <font>
        <color rgb="FF00610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E68E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332614590568361E-2"/>
          <c:y val="3.4468857008238332E-2"/>
          <c:w val="0.91156633429298961"/>
          <c:h val="0.85142123796327562"/>
        </c:manualLayout>
      </c:layout>
      <c:lineChart>
        <c:grouping val="standard"/>
        <c:varyColors val="0"/>
        <c:ser>
          <c:idx val="0"/>
          <c:order val="0"/>
          <c:cat>
            <c:strRef>
              <c:f>'PMC June'!$C$25:$D$25</c:f>
              <c:strCache>
                <c:ptCount val="2"/>
                <c:pt idx="0">
                  <c:v>1st Semi-Annually (January-June)</c:v>
                </c:pt>
                <c:pt idx="1">
                  <c:v>2nd Semi-Annually (July-December)</c:v>
                </c:pt>
              </c:strCache>
            </c:strRef>
          </c:cat>
          <c:val>
            <c:numRef>
              <c:f>'PMC June'!$C$28:$D$28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6-42BB-9F24-567A8DD941D7}"/>
            </c:ext>
          </c:extLst>
        </c:ser>
        <c:ser>
          <c:idx val="1"/>
          <c:order val="1"/>
          <c:cat>
            <c:strRef>
              <c:f>'PMC June'!$C$25:$D$25</c:f>
              <c:strCache>
                <c:ptCount val="2"/>
                <c:pt idx="0">
                  <c:v>1st Semi-Annually (January-June)</c:v>
                </c:pt>
                <c:pt idx="1">
                  <c:v>2nd Semi-Annually (July-December)</c:v>
                </c:pt>
              </c:strCache>
            </c:strRef>
          </c:cat>
          <c:val>
            <c:numRef>
              <c:f>'PMC June'!$C$29:$D$29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C6-42BB-9F24-567A8DD94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975376"/>
        <c:axId val="1787975920"/>
      </c:lineChart>
      <c:catAx>
        <c:axId val="178797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787975920"/>
        <c:crosses val="autoZero"/>
        <c:auto val="1"/>
        <c:lblAlgn val="ctr"/>
        <c:lblOffset val="100"/>
        <c:noMultiLvlLbl val="0"/>
      </c:catAx>
      <c:valAx>
        <c:axId val="1787975920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1787975376"/>
        <c:crosses val="autoZero"/>
        <c:crossBetween val="between"/>
        <c:majorUnit val="0.1"/>
        <c:minorUnit val="0.1"/>
      </c:valAx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5" l="0.45" r="0.45" t="0.5" header="0.3000000000000001" footer="0.3000000000000001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770282</xdr:colOff>
      <xdr:row>0</xdr:row>
      <xdr:rowOff>0</xdr:rowOff>
    </xdr:from>
    <xdr:to>
      <xdr:col>1</xdr:col>
      <xdr:colOff>0</xdr:colOff>
      <xdr:row>3</xdr:row>
      <xdr:rowOff>74542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70282" y="0"/>
          <a:ext cx="2196548" cy="560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900">
              <a:latin typeface="Arial" panose="020B0604020202020204" pitchFamily="34" charset="0"/>
              <a:cs typeface="Arial" panose="020B0604020202020204" pitchFamily="34" charset="0"/>
            </a:rPr>
            <a:t>Republic</a:t>
          </a:r>
          <a:r>
            <a:rPr lang="en-PH" sz="900" baseline="0">
              <a:latin typeface="Arial" panose="020B0604020202020204" pitchFamily="34" charset="0"/>
              <a:cs typeface="Arial" panose="020B0604020202020204" pitchFamily="34" charset="0"/>
            </a:rPr>
            <a:t> of the Philippines</a:t>
          </a:r>
        </a:p>
        <a:p>
          <a:r>
            <a:rPr lang="en-PH" sz="900" baseline="0">
              <a:latin typeface="Arial" panose="020B0604020202020204" pitchFamily="34" charset="0"/>
              <a:cs typeface="Arial" panose="020B0604020202020204" pitchFamily="34" charset="0"/>
            </a:rPr>
            <a:t>CATANDUANES STATE UNIVERSITY</a:t>
          </a:r>
        </a:p>
        <a:p>
          <a:r>
            <a:rPr lang="en-PH" sz="900" baseline="0">
              <a:latin typeface="Arial" panose="020B0604020202020204" pitchFamily="34" charset="0"/>
              <a:cs typeface="Arial" panose="020B0604020202020204" pitchFamily="34" charset="0"/>
            </a:rPr>
            <a:t>Virac, Catanduanes</a:t>
          </a:r>
          <a:endParaRPr lang="en-PH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192571</xdr:colOff>
      <xdr:row>0</xdr:row>
      <xdr:rowOff>0</xdr:rowOff>
    </xdr:from>
    <xdr:to>
      <xdr:col>0</xdr:col>
      <xdr:colOff>741045</xdr:colOff>
      <xdr:row>3</xdr:row>
      <xdr:rowOff>113627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571" y="0"/>
          <a:ext cx="557999" cy="599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</xdr:row>
      <xdr:rowOff>95250</xdr:rowOff>
    </xdr:from>
    <xdr:to>
      <xdr:col>6</xdr:col>
      <xdr:colOff>38100</xdr:colOff>
      <xdr:row>3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95250" y="628650"/>
          <a:ext cx="95535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30040</xdr:colOff>
      <xdr:row>0</xdr:row>
      <xdr:rowOff>12009</xdr:rowOff>
    </xdr:from>
    <xdr:to>
      <xdr:col>0</xdr:col>
      <xdr:colOff>561242</xdr:colOff>
      <xdr:row>3</xdr:row>
      <xdr:rowOff>17291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0" y="12009"/>
          <a:ext cx="531202" cy="538682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161925</xdr:rowOff>
    </xdr:from>
    <xdr:to>
      <xdr:col>5</xdr:col>
      <xdr:colOff>685800</xdr:colOff>
      <xdr:row>37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38100" y="7429500"/>
          <a:ext cx="954405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139880</xdr:colOff>
      <xdr:row>9</xdr:row>
      <xdr:rowOff>174898</xdr:rowOff>
    </xdr:from>
    <xdr:to>
      <xdr:col>4</xdr:col>
      <xdr:colOff>0</xdr:colOff>
      <xdr:row>23</xdr:row>
      <xdr:rowOff>124811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4:M94"/>
  <sheetViews>
    <sheetView tabSelected="1" view="pageBreakPreview" zoomScaleNormal="100" zoomScaleSheetLayoutView="100" workbookViewId="0">
      <pane xSplit="10" ySplit="13" topLeftCell="K47" activePane="bottomRight" state="frozen"/>
      <selection pane="topRight" activeCell="G1" sqref="G1"/>
      <selection pane="bottomLeft" activeCell="A13" sqref="A13"/>
      <selection pane="bottomRight" activeCell="N11" sqref="N11"/>
    </sheetView>
  </sheetViews>
  <sheetFormatPr defaultColWidth="8.88671875" defaultRowHeight="13.2" x14ac:dyDescent="0.25"/>
  <cols>
    <col min="1" max="1" width="41.109375" style="20" customWidth="1"/>
    <col min="2" max="2" width="15.109375" style="17" customWidth="1"/>
    <col min="3" max="3" width="14.88671875" style="65" customWidth="1"/>
    <col min="4" max="5" width="13.6640625" style="110" customWidth="1"/>
    <col min="6" max="6" width="12.5546875" style="17" customWidth="1"/>
    <col min="7" max="7" width="5.33203125" style="17" customWidth="1"/>
    <col min="8" max="8" width="5.77734375" style="17" customWidth="1"/>
    <col min="9" max="9" width="13.88671875" style="17" customWidth="1"/>
    <col min="10" max="10" width="13" style="17" customWidth="1"/>
    <col min="11" max="11" width="10.5546875" style="17" customWidth="1"/>
    <col min="12" max="12" width="11.109375" style="17" customWidth="1"/>
    <col min="13" max="16384" width="8.88671875" style="11"/>
  </cols>
  <sheetData>
    <row r="4" spans="1:12" ht="13.8" thickBot="1" x14ac:dyDescent="0.3">
      <c r="A4" s="32"/>
      <c r="B4" s="34"/>
      <c r="C4" s="33"/>
      <c r="D4" s="33"/>
      <c r="E4" s="33"/>
      <c r="F4" s="34"/>
      <c r="G4" s="34"/>
      <c r="H4" s="34"/>
      <c r="I4" s="34"/>
      <c r="J4" s="34"/>
      <c r="K4" s="34"/>
      <c r="L4" s="34"/>
    </row>
    <row r="6" spans="1:12" ht="17.399999999999999" x14ac:dyDescent="0.3">
      <c r="A6" s="117" t="s">
        <v>5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</row>
    <row r="7" spans="1:12" ht="15.6" x14ac:dyDescent="0.3">
      <c r="A7" s="118" t="s">
        <v>36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</row>
    <row r="8" spans="1:12" x14ac:dyDescent="0.25">
      <c r="A8" s="12"/>
      <c r="B8" s="13"/>
      <c r="C8" s="13"/>
      <c r="D8" s="13"/>
      <c r="E8" s="13"/>
      <c r="F8" s="13"/>
      <c r="G8" s="13"/>
      <c r="H8" s="13"/>
      <c r="I8" s="13"/>
      <c r="J8" s="20"/>
      <c r="K8" s="13"/>
      <c r="L8" s="13"/>
    </row>
    <row r="9" spans="1:12" x14ac:dyDescent="0.25">
      <c r="A9" s="119" t="s">
        <v>28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</row>
    <row r="10" spans="1:12" x14ac:dyDescent="0.25">
      <c r="A10" s="119" t="s">
        <v>29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</row>
    <row r="11" spans="1:12" s="139" customFormat="1" ht="211.2" x14ac:dyDescent="0.25">
      <c r="A11" s="140" t="s">
        <v>49</v>
      </c>
      <c r="B11" s="140" t="s">
        <v>52</v>
      </c>
      <c r="C11" s="140" t="s">
        <v>43</v>
      </c>
      <c r="D11" s="140" t="s">
        <v>42</v>
      </c>
      <c r="E11" s="140" t="s">
        <v>41</v>
      </c>
      <c r="F11" s="140" t="s">
        <v>53</v>
      </c>
      <c r="G11" s="141" t="s">
        <v>47</v>
      </c>
      <c r="H11" s="142"/>
      <c r="I11" s="140" t="s">
        <v>48</v>
      </c>
      <c r="J11" s="140"/>
      <c r="K11" s="140" t="s">
        <v>50</v>
      </c>
      <c r="L11" s="140" t="s">
        <v>51</v>
      </c>
    </row>
    <row r="12" spans="1:12" x14ac:dyDescent="0.25">
      <c r="A12" s="14"/>
      <c r="B12" s="14"/>
      <c r="C12" s="66"/>
      <c r="D12" s="111"/>
      <c r="E12" s="111"/>
      <c r="F12" s="14"/>
      <c r="G12" s="111"/>
      <c r="H12" s="111"/>
      <c r="I12" s="14"/>
      <c r="J12" s="37"/>
      <c r="K12" s="14"/>
      <c r="L12" s="111"/>
    </row>
    <row r="13" spans="1:12" s="10" customFormat="1" ht="85.2" customHeight="1" x14ac:dyDescent="0.3">
      <c r="A13" s="73" t="s">
        <v>6</v>
      </c>
      <c r="B13" s="102" t="s">
        <v>7</v>
      </c>
      <c r="C13" s="102" t="s">
        <v>40</v>
      </c>
      <c r="D13" s="102" t="s">
        <v>37</v>
      </c>
      <c r="E13" s="102" t="s">
        <v>39</v>
      </c>
      <c r="F13" s="102" t="s">
        <v>32</v>
      </c>
      <c r="G13" s="143" t="s">
        <v>44</v>
      </c>
      <c r="H13" s="144"/>
      <c r="I13" s="102" t="s">
        <v>38</v>
      </c>
      <c r="J13" s="102" t="s">
        <v>8</v>
      </c>
      <c r="K13" s="102" t="s">
        <v>9</v>
      </c>
      <c r="L13" s="102" t="s">
        <v>10</v>
      </c>
    </row>
    <row r="14" spans="1:12" s="10" customFormat="1" x14ac:dyDescent="0.3">
      <c r="A14" s="9"/>
      <c r="B14" s="145"/>
      <c r="C14" s="145"/>
      <c r="D14" s="145"/>
      <c r="E14" s="145"/>
      <c r="F14" s="145"/>
      <c r="G14" s="145" t="s">
        <v>45</v>
      </c>
      <c r="H14" s="145" t="s">
        <v>46</v>
      </c>
      <c r="I14" s="145"/>
      <c r="J14" s="145"/>
      <c r="K14" s="145"/>
      <c r="L14" s="145"/>
    </row>
    <row r="15" spans="1:12" s="10" customFormat="1" x14ac:dyDescent="0.3">
      <c r="A15" s="146"/>
      <c r="B15" s="79"/>
      <c r="C15" s="79"/>
      <c r="D15" s="79"/>
      <c r="E15" s="79"/>
      <c r="F15" s="79"/>
      <c r="G15" s="79"/>
      <c r="H15" s="79"/>
      <c r="I15" s="113"/>
      <c r="J15" s="147"/>
      <c r="K15" s="79"/>
      <c r="L15" s="148"/>
    </row>
    <row r="16" spans="1:12" s="10" customFormat="1" x14ac:dyDescent="0.3">
      <c r="A16" s="101"/>
      <c r="B16" s="9"/>
      <c r="C16" s="9"/>
      <c r="D16" s="9"/>
      <c r="E16" s="9"/>
      <c r="F16" s="9"/>
      <c r="G16" s="9"/>
      <c r="H16" s="9"/>
      <c r="I16" s="35"/>
      <c r="J16" s="69"/>
      <c r="K16" s="8"/>
      <c r="L16" s="85"/>
    </row>
    <row r="17" spans="1:12" s="10" customFormat="1" x14ac:dyDescent="0.3">
      <c r="A17" s="84"/>
      <c r="B17" s="9"/>
      <c r="C17" s="9"/>
      <c r="D17" s="9"/>
      <c r="E17" s="9"/>
      <c r="F17" s="9"/>
      <c r="G17" s="9"/>
      <c r="H17" s="9"/>
      <c r="I17" s="35"/>
      <c r="J17" s="69"/>
      <c r="K17" s="8"/>
      <c r="L17" s="85"/>
    </row>
    <row r="18" spans="1:12" s="10" customFormat="1" x14ac:dyDescent="0.3">
      <c r="A18" s="104"/>
      <c r="B18" s="9"/>
      <c r="C18" s="9"/>
      <c r="D18" s="9"/>
      <c r="E18" s="9"/>
      <c r="F18" s="9"/>
      <c r="G18" s="9"/>
      <c r="H18" s="9"/>
      <c r="I18" s="35"/>
      <c r="J18" s="68"/>
      <c r="K18" s="8"/>
      <c r="L18" s="85"/>
    </row>
    <row r="19" spans="1:12" s="10" customFormat="1" x14ac:dyDescent="0.3">
      <c r="A19" s="84"/>
      <c r="B19" s="120"/>
      <c r="C19" s="9"/>
      <c r="D19" s="9"/>
      <c r="E19" s="9"/>
      <c r="F19" s="9"/>
      <c r="G19" s="9"/>
      <c r="H19" s="9"/>
      <c r="I19" s="35"/>
      <c r="J19" s="69"/>
      <c r="K19" s="8"/>
      <c r="L19" s="85"/>
    </row>
    <row r="20" spans="1:12" s="10" customFormat="1" x14ac:dyDescent="0.3">
      <c r="A20" s="86"/>
      <c r="B20" s="121"/>
      <c r="C20" s="9"/>
      <c r="D20" s="9"/>
      <c r="E20" s="9"/>
      <c r="F20" s="9"/>
      <c r="G20" s="9"/>
      <c r="H20" s="9"/>
      <c r="I20" s="35"/>
      <c r="J20" s="69"/>
      <c r="K20" s="8"/>
      <c r="L20" s="85"/>
    </row>
    <row r="21" spans="1:12" s="10" customFormat="1" x14ac:dyDescent="0.3">
      <c r="A21" s="86"/>
      <c r="B21" s="9"/>
      <c r="C21" s="9"/>
      <c r="D21" s="9"/>
      <c r="E21" s="9"/>
      <c r="F21" s="9"/>
      <c r="G21" s="9"/>
      <c r="H21" s="9"/>
      <c r="I21" s="35"/>
      <c r="J21" s="69"/>
      <c r="K21" s="8"/>
      <c r="L21" s="85"/>
    </row>
    <row r="22" spans="1:12" s="10" customFormat="1" x14ac:dyDescent="0.3">
      <c r="A22" s="86"/>
      <c r="B22" s="9"/>
      <c r="C22" s="9"/>
      <c r="D22" s="9"/>
      <c r="E22" s="9"/>
      <c r="F22" s="9"/>
      <c r="G22" s="9"/>
      <c r="H22" s="9"/>
      <c r="I22" s="35"/>
      <c r="J22" s="69"/>
      <c r="K22" s="8"/>
      <c r="L22" s="85"/>
    </row>
    <row r="23" spans="1:12" s="10" customFormat="1" x14ac:dyDescent="0.3">
      <c r="A23" s="105"/>
      <c r="B23" s="9"/>
      <c r="C23" s="9"/>
      <c r="D23" s="9"/>
      <c r="E23" s="9"/>
      <c r="F23" s="9"/>
      <c r="G23" s="9"/>
      <c r="H23" s="9"/>
      <c r="I23" s="35"/>
      <c r="J23" s="69"/>
      <c r="K23" s="8"/>
      <c r="L23" s="85"/>
    </row>
    <row r="24" spans="1:12" s="10" customFormat="1" x14ac:dyDescent="0.3">
      <c r="A24" s="106"/>
      <c r="B24" s="9"/>
      <c r="C24" s="9"/>
      <c r="D24" s="9"/>
      <c r="E24" s="9"/>
      <c r="F24" s="9"/>
      <c r="G24" s="9"/>
      <c r="H24" s="9"/>
      <c r="I24" s="35"/>
      <c r="J24" s="69"/>
      <c r="K24" s="8"/>
      <c r="L24" s="85"/>
    </row>
    <row r="25" spans="1:12" s="10" customFormat="1" x14ac:dyDescent="0.3">
      <c r="A25" s="101"/>
      <c r="B25" s="9"/>
      <c r="C25" s="9"/>
      <c r="D25" s="9"/>
      <c r="E25" s="9"/>
      <c r="F25" s="9"/>
      <c r="G25" s="9"/>
      <c r="H25" s="9"/>
      <c r="I25" s="35"/>
      <c r="J25" s="69"/>
      <c r="K25" s="8"/>
      <c r="L25" s="85"/>
    </row>
    <row r="26" spans="1:12" s="10" customFormat="1" ht="16.5" customHeight="1" x14ac:dyDescent="0.3">
      <c r="A26" s="84"/>
      <c r="B26" s="9"/>
      <c r="C26" s="9"/>
      <c r="D26" s="9"/>
      <c r="E26" s="9"/>
      <c r="F26" s="9"/>
      <c r="G26" s="9"/>
      <c r="H26" s="9"/>
      <c r="I26" s="35"/>
      <c r="J26" s="69"/>
      <c r="K26" s="8"/>
      <c r="L26" s="85"/>
    </row>
    <row r="27" spans="1:12" s="10" customFormat="1" ht="16.5" customHeight="1" x14ac:dyDescent="0.3">
      <c r="A27" s="105"/>
      <c r="B27" s="9"/>
      <c r="C27" s="9"/>
      <c r="D27" s="9"/>
      <c r="E27" s="9"/>
      <c r="F27" s="9"/>
      <c r="G27" s="9"/>
      <c r="H27" s="9"/>
      <c r="I27" s="35"/>
      <c r="J27" s="69"/>
      <c r="K27" s="8"/>
      <c r="L27" s="85"/>
    </row>
    <row r="28" spans="1:12" s="10" customFormat="1" x14ac:dyDescent="0.3">
      <c r="A28" s="84"/>
      <c r="B28" s="9"/>
      <c r="C28" s="9"/>
      <c r="D28" s="9"/>
      <c r="E28" s="9"/>
      <c r="F28" s="9"/>
      <c r="G28" s="9"/>
      <c r="H28" s="9"/>
      <c r="I28" s="35"/>
      <c r="J28" s="69"/>
      <c r="K28" s="8"/>
      <c r="L28" s="85"/>
    </row>
    <row r="29" spans="1:12" s="10" customFormat="1" x14ac:dyDescent="0.3">
      <c r="A29" s="86"/>
      <c r="B29" s="9"/>
      <c r="C29" s="9"/>
      <c r="D29" s="9"/>
      <c r="E29" s="9"/>
      <c r="F29" s="9"/>
      <c r="G29" s="9"/>
      <c r="H29" s="9"/>
      <c r="I29" s="35"/>
      <c r="J29" s="69"/>
      <c r="K29" s="8"/>
      <c r="L29" s="85"/>
    </row>
    <row r="30" spans="1:12" s="10" customFormat="1" x14ac:dyDescent="0.3">
      <c r="A30" s="84"/>
      <c r="B30" s="9"/>
      <c r="C30" s="9"/>
      <c r="D30" s="9"/>
      <c r="E30" s="9"/>
      <c r="F30" s="9"/>
      <c r="G30" s="9"/>
      <c r="H30" s="9"/>
      <c r="I30" s="35"/>
      <c r="J30" s="69"/>
      <c r="K30" s="8"/>
      <c r="L30" s="85"/>
    </row>
    <row r="31" spans="1:12" s="10" customFormat="1" x14ac:dyDescent="0.3">
      <c r="A31" s="86"/>
      <c r="B31" s="9"/>
      <c r="C31" s="9"/>
      <c r="D31" s="9"/>
      <c r="E31" s="9"/>
      <c r="F31" s="9"/>
      <c r="G31" s="9"/>
      <c r="H31" s="9"/>
      <c r="I31" s="35"/>
      <c r="J31" s="69"/>
      <c r="K31" s="8"/>
      <c r="L31" s="85"/>
    </row>
    <row r="32" spans="1:12" s="10" customFormat="1" x14ac:dyDescent="0.3">
      <c r="A32" s="84"/>
      <c r="B32" s="9"/>
      <c r="C32" s="9"/>
      <c r="D32" s="9"/>
      <c r="E32" s="9"/>
      <c r="F32" s="9"/>
      <c r="G32" s="9"/>
      <c r="H32" s="9"/>
      <c r="I32" s="35"/>
      <c r="J32" s="68"/>
      <c r="K32" s="8"/>
      <c r="L32" s="85"/>
    </row>
    <row r="33" spans="1:12" s="10" customFormat="1" x14ac:dyDescent="0.3">
      <c r="A33" s="84"/>
      <c r="B33" s="9"/>
      <c r="C33" s="9"/>
      <c r="D33" s="9"/>
      <c r="E33" s="9"/>
      <c r="F33" s="9"/>
      <c r="G33" s="9"/>
      <c r="H33" s="9"/>
      <c r="I33" s="35"/>
      <c r="J33" s="70"/>
      <c r="K33" s="8"/>
      <c r="L33" s="85"/>
    </row>
    <row r="34" spans="1:12" s="10" customFormat="1" x14ac:dyDescent="0.3">
      <c r="A34" s="86"/>
      <c r="B34" s="9"/>
      <c r="C34" s="9"/>
      <c r="D34" s="9"/>
      <c r="E34" s="9"/>
      <c r="F34" s="9"/>
      <c r="G34" s="9"/>
      <c r="H34" s="9"/>
      <c r="I34" s="35"/>
      <c r="J34" s="69"/>
      <c r="K34" s="8"/>
      <c r="L34" s="85"/>
    </row>
    <row r="35" spans="1:12" s="10" customFormat="1" x14ac:dyDescent="0.3">
      <c r="A35" s="86"/>
      <c r="B35" s="9"/>
      <c r="C35" s="9"/>
      <c r="D35" s="9"/>
      <c r="E35" s="9"/>
      <c r="F35" s="9"/>
      <c r="G35" s="9"/>
      <c r="H35" s="9"/>
      <c r="I35" s="35"/>
      <c r="J35" s="69"/>
      <c r="K35" s="8"/>
      <c r="L35" s="85"/>
    </row>
    <row r="36" spans="1:12" s="10" customFormat="1" ht="13.8" thickBot="1" x14ac:dyDescent="0.35">
      <c r="A36" s="99"/>
      <c r="B36" s="88"/>
      <c r="C36" s="88"/>
      <c r="D36" s="88"/>
      <c r="E36" s="88"/>
      <c r="F36" s="88"/>
      <c r="G36" s="88"/>
      <c r="H36" s="88"/>
      <c r="I36" s="89"/>
      <c r="J36" s="90"/>
      <c r="K36" s="91"/>
      <c r="L36" s="92"/>
    </row>
    <row r="37" spans="1:12" s="10" customFormat="1" x14ac:dyDescent="0.3">
      <c r="A37" s="103"/>
      <c r="B37" s="79"/>
      <c r="C37" s="79"/>
      <c r="D37" s="79"/>
      <c r="E37" s="79"/>
      <c r="F37" s="79"/>
      <c r="G37" s="79"/>
      <c r="H37" s="79"/>
      <c r="I37" s="79"/>
      <c r="J37" s="94"/>
      <c r="K37" s="79"/>
      <c r="L37" s="77"/>
    </row>
    <row r="38" spans="1:12" s="10" customFormat="1" x14ac:dyDescent="0.3">
      <c r="A38" s="26"/>
      <c r="B38" s="9"/>
      <c r="C38" s="9"/>
      <c r="D38" s="9"/>
      <c r="E38" s="9"/>
      <c r="F38" s="9"/>
      <c r="G38" s="9"/>
      <c r="H38" s="9"/>
      <c r="I38" s="35"/>
      <c r="J38" s="69"/>
      <c r="K38" s="8"/>
      <c r="L38" s="9"/>
    </row>
    <row r="39" spans="1:12" s="10" customFormat="1" x14ac:dyDescent="0.3">
      <c r="A39" s="26"/>
      <c r="B39" s="9"/>
      <c r="C39" s="9"/>
      <c r="D39" s="9"/>
      <c r="E39" s="9"/>
      <c r="F39" s="9"/>
      <c r="G39" s="9"/>
      <c r="H39" s="9"/>
      <c r="I39" s="35"/>
      <c r="J39" s="69"/>
      <c r="K39" s="8"/>
      <c r="L39" s="9"/>
    </row>
    <row r="40" spans="1:12" s="10" customFormat="1" x14ac:dyDescent="0.3">
      <c r="A40" s="26"/>
      <c r="B40" s="9"/>
      <c r="C40" s="9"/>
      <c r="D40" s="9"/>
      <c r="E40" s="9"/>
      <c r="F40" s="9"/>
      <c r="G40" s="9"/>
      <c r="H40" s="9"/>
      <c r="I40" s="35"/>
      <c r="J40" s="69"/>
      <c r="K40" s="8"/>
      <c r="L40" s="9"/>
    </row>
    <row r="41" spans="1:12" s="10" customFormat="1" x14ac:dyDescent="0.3">
      <c r="A41" s="29"/>
      <c r="B41" s="9"/>
      <c r="C41" s="9"/>
      <c r="D41" s="9"/>
      <c r="E41" s="9"/>
      <c r="F41" s="9"/>
      <c r="G41" s="9"/>
      <c r="H41" s="9"/>
      <c r="I41" s="35"/>
      <c r="J41" s="69"/>
      <c r="K41" s="8"/>
      <c r="L41" s="9"/>
    </row>
    <row r="42" spans="1:12" s="10" customFormat="1" x14ac:dyDescent="0.3">
      <c r="A42" s="29"/>
      <c r="B42" s="9"/>
      <c r="C42" s="9"/>
      <c r="D42" s="9"/>
      <c r="E42" s="9"/>
      <c r="F42" s="9"/>
      <c r="G42" s="9"/>
      <c r="H42" s="9"/>
      <c r="I42" s="35"/>
      <c r="J42" s="69"/>
      <c r="K42" s="8"/>
      <c r="L42" s="9"/>
    </row>
    <row r="43" spans="1:12" s="10" customFormat="1" x14ac:dyDescent="0.3">
      <c r="A43" s="27"/>
      <c r="B43" s="9"/>
      <c r="C43" s="9"/>
      <c r="D43" s="9"/>
      <c r="E43" s="9"/>
      <c r="F43" s="9"/>
      <c r="G43" s="9"/>
      <c r="H43" s="9"/>
      <c r="I43" s="35"/>
      <c r="J43" s="69"/>
      <c r="K43" s="8"/>
      <c r="L43" s="9"/>
    </row>
    <row r="44" spans="1:12" s="10" customFormat="1" x14ac:dyDescent="0.3">
      <c r="A44" s="26"/>
      <c r="B44" s="9"/>
      <c r="C44" s="9"/>
      <c r="D44" s="9"/>
      <c r="E44" s="9"/>
      <c r="F44" s="9"/>
      <c r="G44" s="9"/>
      <c r="H44" s="9"/>
      <c r="I44" s="35"/>
      <c r="J44" s="69"/>
      <c r="K44" s="8"/>
      <c r="L44" s="9"/>
    </row>
    <row r="45" spans="1:12" s="10" customFormat="1" ht="16.5" customHeight="1" x14ac:dyDescent="0.3">
      <c r="A45" s="26"/>
      <c r="B45" s="9"/>
      <c r="C45" s="9"/>
      <c r="D45" s="9"/>
      <c r="E45" s="9"/>
      <c r="F45" s="9"/>
      <c r="G45" s="9"/>
      <c r="H45" s="9"/>
      <c r="I45" s="35"/>
      <c r="J45" s="69"/>
      <c r="K45" s="8"/>
      <c r="L45" s="9"/>
    </row>
    <row r="46" spans="1:12" s="10" customFormat="1" x14ac:dyDescent="0.3">
      <c r="A46" s="26"/>
      <c r="B46" s="9"/>
      <c r="C46" s="9"/>
      <c r="D46" s="9"/>
      <c r="E46" s="9"/>
      <c r="F46" s="9"/>
      <c r="G46" s="9"/>
      <c r="H46" s="9"/>
      <c r="I46" s="35"/>
      <c r="J46" s="69"/>
      <c r="K46" s="8"/>
      <c r="L46" s="9"/>
    </row>
    <row r="47" spans="1:12" s="10" customFormat="1" x14ac:dyDescent="0.3">
      <c r="A47" s="26"/>
      <c r="B47" s="9"/>
      <c r="C47" s="9"/>
      <c r="D47" s="9"/>
      <c r="E47" s="9"/>
      <c r="F47" s="9"/>
      <c r="G47" s="9"/>
      <c r="H47" s="9"/>
      <c r="I47" s="35"/>
      <c r="J47" s="69"/>
      <c r="K47" s="8"/>
      <c r="L47" s="9"/>
    </row>
    <row r="48" spans="1:12" s="10" customFormat="1" x14ac:dyDescent="0.3">
      <c r="A48" s="26"/>
      <c r="B48" s="9"/>
      <c r="C48" s="9"/>
      <c r="D48" s="9"/>
      <c r="E48" s="9"/>
      <c r="F48" s="9"/>
      <c r="G48" s="9"/>
      <c r="H48" s="9"/>
      <c r="I48" s="35"/>
      <c r="J48" s="69"/>
      <c r="K48" s="8"/>
      <c r="L48" s="9"/>
    </row>
    <row r="49" spans="1:12" s="10" customFormat="1" x14ac:dyDescent="0.3">
      <c r="A49" s="26"/>
      <c r="B49" s="9"/>
      <c r="C49" s="9"/>
      <c r="D49" s="9"/>
      <c r="E49" s="9"/>
      <c r="F49" s="9"/>
      <c r="G49" s="9"/>
      <c r="H49" s="9"/>
      <c r="I49" s="35"/>
      <c r="J49" s="69"/>
      <c r="K49" s="8"/>
      <c r="L49" s="9"/>
    </row>
    <row r="50" spans="1:12" s="10" customFormat="1" x14ac:dyDescent="0.3">
      <c r="A50" s="26"/>
      <c r="B50" s="9"/>
      <c r="C50" s="9"/>
      <c r="D50" s="9"/>
      <c r="E50" s="9"/>
      <c r="F50" s="9"/>
      <c r="G50" s="9"/>
      <c r="H50" s="9"/>
      <c r="I50" s="35"/>
      <c r="J50" s="69"/>
      <c r="K50" s="8"/>
      <c r="L50" s="9"/>
    </row>
    <row r="51" spans="1:12" s="10" customFormat="1" x14ac:dyDescent="0.25">
      <c r="A51" s="28"/>
      <c r="B51" s="9"/>
      <c r="C51" s="9"/>
      <c r="D51" s="9"/>
      <c r="E51" s="9"/>
      <c r="F51" s="9"/>
      <c r="G51" s="9"/>
      <c r="H51" s="9"/>
      <c r="I51" s="35"/>
      <c r="J51" s="69"/>
      <c r="K51" s="8"/>
      <c r="L51" s="9"/>
    </row>
    <row r="52" spans="1:12" s="10" customFormat="1" x14ac:dyDescent="0.25">
      <c r="A52" s="28"/>
      <c r="B52" s="9"/>
      <c r="C52" s="9"/>
      <c r="D52" s="9"/>
      <c r="E52" s="9"/>
      <c r="F52" s="9"/>
      <c r="G52" s="9"/>
      <c r="H52" s="9"/>
      <c r="I52" s="35"/>
      <c r="J52" s="69"/>
      <c r="K52" s="8"/>
      <c r="L52" s="9"/>
    </row>
    <row r="53" spans="1:12" s="10" customFormat="1" ht="15" customHeight="1" thickBot="1" x14ac:dyDescent="0.35">
      <c r="A53" s="72"/>
      <c r="B53" s="73"/>
      <c r="C53" s="73"/>
      <c r="D53" s="112"/>
      <c r="E53" s="112"/>
      <c r="F53" s="73"/>
      <c r="G53" s="112"/>
      <c r="H53" s="112"/>
      <c r="I53" s="74"/>
      <c r="J53" s="69"/>
      <c r="K53" s="76"/>
      <c r="L53" s="73"/>
    </row>
    <row r="54" spans="1:12" s="10" customFormat="1" x14ac:dyDescent="0.3">
      <c r="A54" s="100"/>
      <c r="B54" s="81"/>
      <c r="C54" s="81"/>
      <c r="D54" s="81"/>
      <c r="E54" s="81"/>
      <c r="F54" s="81"/>
      <c r="G54" s="81"/>
      <c r="H54" s="81"/>
      <c r="I54" s="81"/>
      <c r="J54" s="82"/>
      <c r="K54" s="81"/>
      <c r="L54" s="83"/>
    </row>
    <row r="55" spans="1:12" s="10" customFormat="1" x14ac:dyDescent="0.3">
      <c r="A55" s="86"/>
      <c r="B55" s="9"/>
      <c r="C55" s="9"/>
      <c r="D55" s="9"/>
      <c r="E55" s="9"/>
      <c r="F55" s="9"/>
      <c r="G55" s="9"/>
      <c r="H55" s="9"/>
      <c r="I55" s="35"/>
      <c r="J55" s="69"/>
      <c r="K55" s="8"/>
      <c r="L55" s="85"/>
    </row>
    <row r="56" spans="1:12" s="10" customFormat="1" x14ac:dyDescent="0.3">
      <c r="A56" s="86"/>
      <c r="B56" s="9"/>
      <c r="C56" s="9"/>
      <c r="D56" s="9"/>
      <c r="E56" s="9"/>
      <c r="F56" s="9"/>
      <c r="G56" s="9"/>
      <c r="H56" s="9"/>
      <c r="I56" s="35"/>
      <c r="J56" s="69"/>
      <c r="K56" s="8"/>
      <c r="L56" s="85"/>
    </row>
    <row r="57" spans="1:12" s="10" customFormat="1" x14ac:dyDescent="0.3">
      <c r="A57" s="86"/>
      <c r="B57" s="9"/>
      <c r="C57" s="9"/>
      <c r="D57" s="9"/>
      <c r="E57" s="9"/>
      <c r="F57" s="9"/>
      <c r="G57" s="9"/>
      <c r="H57" s="9"/>
      <c r="I57" s="35"/>
      <c r="J57" s="69"/>
      <c r="K57" s="8"/>
      <c r="L57" s="85"/>
    </row>
    <row r="58" spans="1:12" s="10" customFormat="1" x14ac:dyDescent="0.3">
      <c r="A58" s="101"/>
      <c r="B58" s="9"/>
      <c r="C58" s="9"/>
      <c r="D58" s="9"/>
      <c r="E58" s="9"/>
      <c r="F58" s="9"/>
      <c r="G58" s="9"/>
      <c r="H58" s="9"/>
      <c r="I58" s="35"/>
      <c r="J58" s="69"/>
      <c r="K58" s="8"/>
      <c r="L58" s="85"/>
    </row>
    <row r="59" spans="1:12" s="10" customFormat="1" x14ac:dyDescent="0.3">
      <c r="A59" s="101"/>
      <c r="B59" s="9"/>
      <c r="C59" s="9"/>
      <c r="D59" s="9"/>
      <c r="E59" s="9"/>
      <c r="F59" s="9"/>
      <c r="G59" s="9"/>
      <c r="H59" s="9"/>
      <c r="I59" s="35"/>
      <c r="J59" s="69"/>
      <c r="K59" s="8"/>
      <c r="L59" s="85"/>
    </row>
    <row r="60" spans="1:12" s="10" customFormat="1" x14ac:dyDescent="0.3">
      <c r="A60" s="101"/>
      <c r="B60" s="9"/>
      <c r="C60" s="9"/>
      <c r="D60" s="9"/>
      <c r="E60" s="9"/>
      <c r="F60" s="9"/>
      <c r="G60" s="9"/>
      <c r="H60" s="9"/>
      <c r="I60" s="35"/>
      <c r="J60" s="69"/>
      <c r="K60" s="8"/>
      <c r="L60" s="85"/>
    </row>
    <row r="61" spans="1:12" s="10" customFormat="1" x14ac:dyDescent="0.3">
      <c r="A61" s="101"/>
      <c r="B61" s="9"/>
      <c r="C61" s="9"/>
      <c r="D61" s="9"/>
      <c r="E61" s="9"/>
      <c r="F61" s="9"/>
      <c r="G61" s="9"/>
      <c r="H61" s="9"/>
      <c r="I61" s="35"/>
      <c r="J61" s="69"/>
      <c r="K61" s="8"/>
      <c r="L61" s="85"/>
    </row>
    <row r="62" spans="1:12" s="10" customFormat="1" x14ac:dyDescent="0.3">
      <c r="A62" s="101"/>
      <c r="B62" s="9"/>
      <c r="C62" s="9"/>
      <c r="D62" s="9"/>
      <c r="E62" s="9"/>
      <c r="F62" s="9"/>
      <c r="G62" s="9"/>
      <c r="H62" s="9"/>
      <c r="I62" s="35"/>
      <c r="J62" s="69"/>
      <c r="K62" s="8"/>
      <c r="L62" s="85"/>
    </row>
    <row r="63" spans="1:12" s="10" customFormat="1" x14ac:dyDescent="0.3">
      <c r="A63" s="101"/>
      <c r="B63" s="9"/>
      <c r="C63" s="9"/>
      <c r="D63" s="9"/>
      <c r="E63" s="9"/>
      <c r="F63" s="9"/>
      <c r="G63" s="9"/>
      <c r="H63" s="9"/>
      <c r="I63" s="35"/>
      <c r="J63" s="69"/>
      <c r="K63" s="8"/>
      <c r="L63" s="85"/>
    </row>
    <row r="64" spans="1:12" s="10" customFormat="1" x14ac:dyDescent="0.3">
      <c r="A64" s="101"/>
      <c r="B64" s="9"/>
      <c r="C64" s="9"/>
      <c r="D64" s="9"/>
      <c r="E64" s="9"/>
      <c r="F64" s="9"/>
      <c r="G64" s="9"/>
      <c r="H64" s="9"/>
      <c r="I64" s="35"/>
      <c r="J64" s="69"/>
      <c r="K64" s="8"/>
      <c r="L64" s="85"/>
    </row>
    <row r="65" spans="1:12" s="10" customFormat="1" x14ac:dyDescent="0.3">
      <c r="A65" s="101"/>
      <c r="B65" s="9"/>
      <c r="C65" s="9"/>
      <c r="D65" s="9"/>
      <c r="E65" s="9"/>
      <c r="F65" s="9"/>
      <c r="G65" s="9"/>
      <c r="H65" s="9"/>
      <c r="I65" s="35"/>
      <c r="J65" s="69"/>
      <c r="K65" s="8"/>
      <c r="L65" s="85"/>
    </row>
    <row r="66" spans="1:12" s="10" customFormat="1" x14ac:dyDescent="0.3">
      <c r="A66" s="86"/>
      <c r="B66" s="9"/>
      <c r="C66" s="9"/>
      <c r="D66" s="9"/>
      <c r="E66" s="9"/>
      <c r="F66" s="9"/>
      <c r="G66" s="9"/>
      <c r="H66" s="9"/>
      <c r="I66" s="35"/>
      <c r="J66" s="69"/>
      <c r="K66" s="8"/>
      <c r="L66" s="85"/>
    </row>
    <row r="67" spans="1:12" s="10" customFormat="1" x14ac:dyDescent="0.3">
      <c r="A67" s="86"/>
      <c r="B67" s="9"/>
      <c r="C67" s="9"/>
      <c r="D67" s="9"/>
      <c r="E67" s="9"/>
      <c r="F67" s="9"/>
      <c r="G67" s="9"/>
      <c r="H67" s="9"/>
      <c r="I67" s="35"/>
      <c r="J67" s="69"/>
      <c r="K67" s="8"/>
      <c r="L67" s="85"/>
    </row>
    <row r="68" spans="1:12" s="10" customFormat="1" x14ac:dyDescent="0.3">
      <c r="A68" s="86"/>
      <c r="B68" s="9"/>
      <c r="C68" s="9"/>
      <c r="D68" s="9"/>
      <c r="E68" s="9"/>
      <c r="F68" s="9"/>
      <c r="G68" s="9"/>
      <c r="H68" s="9"/>
      <c r="I68" s="35"/>
      <c r="J68" s="69"/>
      <c r="K68" s="8"/>
      <c r="L68" s="85"/>
    </row>
    <row r="69" spans="1:12" s="10" customFormat="1" x14ac:dyDescent="0.3">
      <c r="A69" s="101"/>
      <c r="B69" s="9"/>
      <c r="C69" s="9"/>
      <c r="D69" s="9"/>
      <c r="E69" s="9"/>
      <c r="F69" s="9"/>
      <c r="G69" s="9"/>
      <c r="H69" s="9"/>
      <c r="I69" s="35"/>
      <c r="J69" s="69"/>
      <c r="K69" s="8"/>
      <c r="L69" s="85"/>
    </row>
    <row r="70" spans="1:12" s="10" customFormat="1" x14ac:dyDescent="0.3">
      <c r="A70" s="86"/>
      <c r="B70" s="9"/>
      <c r="C70" s="9"/>
      <c r="D70" s="9"/>
      <c r="E70" s="9"/>
      <c r="F70" s="9"/>
      <c r="G70" s="9"/>
      <c r="H70" s="9"/>
      <c r="I70" s="35"/>
      <c r="J70" s="69"/>
      <c r="K70" s="8"/>
      <c r="L70" s="85"/>
    </row>
    <row r="71" spans="1:12" s="10" customFormat="1" x14ac:dyDescent="0.3">
      <c r="A71" s="86"/>
      <c r="B71" s="9"/>
      <c r="C71" s="9"/>
      <c r="D71" s="9"/>
      <c r="E71" s="9"/>
      <c r="F71" s="9"/>
      <c r="G71" s="9"/>
      <c r="H71" s="9"/>
      <c r="I71" s="35"/>
      <c r="J71" s="69"/>
      <c r="K71" s="8"/>
      <c r="L71" s="85"/>
    </row>
    <row r="72" spans="1:12" s="10" customFormat="1" ht="13.8" thickBot="1" x14ac:dyDescent="0.35">
      <c r="A72" s="99"/>
      <c r="B72" s="88"/>
      <c r="C72" s="88"/>
      <c r="D72" s="88"/>
      <c r="E72" s="88"/>
      <c r="F72" s="88"/>
      <c r="G72" s="112"/>
      <c r="H72" s="112"/>
      <c r="I72" s="35"/>
      <c r="J72" s="69"/>
      <c r="K72" s="91"/>
      <c r="L72" s="92"/>
    </row>
    <row r="73" spans="1:12" s="10" customFormat="1" x14ac:dyDescent="0.3">
      <c r="A73" s="80"/>
      <c r="B73" s="81"/>
      <c r="C73" s="81"/>
      <c r="D73" s="81"/>
      <c r="E73" s="81"/>
      <c r="F73" s="81"/>
      <c r="G73" s="81"/>
      <c r="H73" s="81"/>
      <c r="I73" s="81"/>
      <c r="J73" s="82"/>
      <c r="K73" s="81"/>
      <c r="L73" s="83"/>
    </row>
    <row r="74" spans="1:12" s="10" customFormat="1" x14ac:dyDescent="0.3">
      <c r="A74" s="84"/>
      <c r="B74" s="9"/>
      <c r="C74" s="9"/>
      <c r="D74" s="9"/>
      <c r="E74" s="9"/>
      <c r="F74" s="9"/>
      <c r="G74" s="9"/>
      <c r="H74" s="9"/>
      <c r="I74" s="35"/>
      <c r="J74" s="69"/>
      <c r="K74" s="8"/>
      <c r="L74" s="85"/>
    </row>
    <row r="75" spans="1:12" s="10" customFormat="1" x14ac:dyDescent="0.3">
      <c r="A75" s="86"/>
      <c r="B75" s="9"/>
      <c r="C75" s="9"/>
      <c r="D75" s="9"/>
      <c r="E75" s="9"/>
      <c r="F75" s="9"/>
      <c r="G75" s="9"/>
      <c r="H75" s="9"/>
      <c r="I75" s="35"/>
      <c r="J75" s="69"/>
      <c r="K75" s="8"/>
      <c r="L75" s="85"/>
    </row>
    <row r="76" spans="1:12" s="10" customFormat="1" x14ac:dyDescent="0.3">
      <c r="A76" s="84"/>
      <c r="B76" s="9"/>
      <c r="C76" s="9"/>
      <c r="D76" s="9"/>
      <c r="E76" s="9"/>
      <c r="F76" s="9"/>
      <c r="G76" s="9"/>
      <c r="H76" s="9"/>
      <c r="I76" s="36"/>
      <c r="J76" s="69"/>
      <c r="K76" s="8"/>
      <c r="L76" s="85"/>
    </row>
    <row r="77" spans="1:12" s="10" customFormat="1" x14ac:dyDescent="0.3">
      <c r="A77" s="109"/>
      <c r="B77" s="73"/>
      <c r="C77" s="73"/>
      <c r="D77" s="112"/>
      <c r="E77" s="112"/>
      <c r="F77" s="73"/>
      <c r="G77" s="112"/>
      <c r="H77" s="112"/>
      <c r="I77" s="107"/>
      <c r="J77" s="75"/>
      <c r="K77" s="76"/>
      <c r="L77" s="108"/>
    </row>
    <row r="78" spans="1:12" s="10" customFormat="1" ht="13.8" thickBot="1" x14ac:dyDescent="0.35">
      <c r="A78" s="87"/>
      <c r="B78" s="88"/>
      <c r="C78" s="88"/>
      <c r="D78" s="88"/>
      <c r="E78" s="88"/>
      <c r="F78" s="88"/>
      <c r="G78" s="88"/>
      <c r="H78" s="88"/>
      <c r="I78" s="89"/>
      <c r="J78" s="90"/>
      <c r="K78" s="91"/>
      <c r="L78" s="92"/>
    </row>
    <row r="79" spans="1:12" s="10" customFormat="1" x14ac:dyDescent="0.3">
      <c r="A79" s="95"/>
      <c r="B79" s="96"/>
      <c r="C79" s="96"/>
      <c r="D79" s="96"/>
      <c r="E79" s="96"/>
      <c r="F79" s="96"/>
      <c r="G79" s="96"/>
      <c r="H79" s="96"/>
      <c r="I79" s="97"/>
      <c r="J79" s="98"/>
      <c r="K79" s="81"/>
      <c r="L79" s="83"/>
    </row>
    <row r="80" spans="1:12" s="10" customFormat="1" x14ac:dyDescent="0.3">
      <c r="A80" s="84"/>
      <c r="B80" s="9"/>
      <c r="C80" s="9"/>
      <c r="D80" s="9"/>
      <c r="E80" s="9"/>
      <c r="F80" s="9"/>
      <c r="G80" s="9"/>
      <c r="H80" s="9"/>
      <c r="I80" s="35"/>
      <c r="J80" s="69"/>
      <c r="K80" s="8"/>
      <c r="L80" s="85"/>
    </row>
    <row r="81" spans="1:13" s="10" customFormat="1" x14ac:dyDescent="0.3">
      <c r="A81" s="86"/>
      <c r="B81" s="9"/>
      <c r="C81" s="9"/>
      <c r="D81" s="9"/>
      <c r="E81" s="9"/>
      <c r="F81" s="9"/>
      <c r="G81" s="9"/>
      <c r="H81" s="9"/>
      <c r="I81" s="35"/>
      <c r="J81" s="69"/>
      <c r="K81" s="8"/>
      <c r="L81" s="85"/>
    </row>
    <row r="82" spans="1:13" s="10" customFormat="1" ht="13.8" thickBot="1" x14ac:dyDescent="0.35">
      <c r="A82" s="99"/>
      <c r="B82" s="88"/>
      <c r="C82" s="88"/>
      <c r="D82" s="88"/>
      <c r="E82" s="88"/>
      <c r="F82" s="88"/>
      <c r="G82" s="88"/>
      <c r="H82" s="88"/>
      <c r="I82" s="89"/>
      <c r="J82" s="90"/>
      <c r="K82" s="91"/>
      <c r="L82" s="92"/>
    </row>
    <row r="83" spans="1:13" s="10" customFormat="1" x14ac:dyDescent="0.3">
      <c r="A83" s="93"/>
      <c r="B83" s="77"/>
      <c r="C83" s="77"/>
      <c r="D83" s="113"/>
      <c r="E83" s="113"/>
      <c r="F83" s="77"/>
      <c r="G83" s="113"/>
      <c r="H83" s="113"/>
      <c r="I83" s="78"/>
      <c r="J83" s="94"/>
      <c r="K83" s="79"/>
      <c r="L83" s="77"/>
    </row>
    <row r="84" spans="1:13" s="10" customFormat="1" x14ac:dyDescent="0.3">
      <c r="A84" s="31"/>
      <c r="B84" s="30"/>
      <c r="C84" s="30"/>
      <c r="D84" s="30"/>
      <c r="E84" s="30"/>
      <c r="F84" s="30"/>
      <c r="G84" s="30"/>
      <c r="H84" s="30"/>
      <c r="I84" s="16"/>
      <c r="J84" s="71"/>
      <c r="K84" s="30"/>
      <c r="L84" s="15"/>
    </row>
    <row r="85" spans="1:13" x14ac:dyDescent="0.25">
      <c r="A85" s="64" t="s">
        <v>33</v>
      </c>
      <c r="B85" s="59"/>
      <c r="C85" s="67"/>
      <c r="D85" s="67"/>
      <c r="E85" s="67"/>
      <c r="F85" s="55"/>
      <c r="G85" s="55"/>
      <c r="H85" s="55"/>
      <c r="I85" s="55"/>
      <c r="J85" s="11"/>
      <c r="K85" s="11"/>
    </row>
    <row r="86" spans="1:13" ht="27" customHeight="1" x14ac:dyDescent="0.25">
      <c r="A86" s="64" t="s">
        <v>34</v>
      </c>
      <c r="B86" s="58"/>
      <c r="C86" s="58"/>
      <c r="D86" s="58"/>
      <c r="E86" s="58"/>
      <c r="F86" s="18"/>
      <c r="G86" s="110"/>
      <c r="H86" s="110"/>
      <c r="I86" s="18"/>
      <c r="J86" s="19"/>
      <c r="K86" s="19"/>
      <c r="M86" s="17"/>
    </row>
    <row r="87" spans="1:13" ht="13.2" customHeight="1" x14ac:dyDescent="0.25">
      <c r="A87" s="64" t="s">
        <v>11</v>
      </c>
      <c r="B87" s="56" t="e">
        <f>IF(B85/B86&gt;=90%,"100%")</f>
        <v>#DIV/0!</v>
      </c>
      <c r="C87" s="56"/>
      <c r="D87" s="56"/>
      <c r="E87" s="56"/>
      <c r="F87" s="57"/>
      <c r="G87" s="114"/>
      <c r="H87" s="114"/>
      <c r="I87" s="57"/>
      <c r="J87" s="19"/>
      <c r="K87" s="19"/>
      <c r="M87" s="17"/>
    </row>
    <row r="88" spans="1:13" ht="13.2" customHeight="1" x14ac:dyDescent="0.25">
      <c r="B88" s="7"/>
      <c r="C88" s="20"/>
      <c r="D88" s="20"/>
      <c r="E88" s="20"/>
      <c r="F88" s="18"/>
      <c r="G88" s="110"/>
      <c r="H88" s="110"/>
      <c r="I88" s="18"/>
      <c r="K88" s="11"/>
      <c r="L88" s="19"/>
      <c r="M88" s="17"/>
    </row>
    <row r="89" spans="1:13" x14ac:dyDescent="0.25">
      <c r="A89" s="21" t="s">
        <v>3</v>
      </c>
      <c r="B89" s="18"/>
      <c r="C89" s="11"/>
      <c r="D89" s="11"/>
      <c r="E89" s="11"/>
      <c r="F89" s="122" t="s">
        <v>4</v>
      </c>
      <c r="G89" s="122"/>
      <c r="H89" s="122"/>
      <c r="I89" s="122"/>
      <c r="J89" s="11"/>
      <c r="K89" s="11"/>
      <c r="L89" s="19"/>
      <c r="M89" s="17"/>
    </row>
    <row r="90" spans="1:13" x14ac:dyDescent="0.25">
      <c r="B90" s="18"/>
      <c r="C90" s="11"/>
      <c r="D90" s="11"/>
      <c r="E90" s="11"/>
      <c r="F90" s="18"/>
      <c r="G90" s="110"/>
      <c r="H90" s="110"/>
      <c r="I90" s="18"/>
      <c r="J90" s="11"/>
      <c r="K90" s="11"/>
      <c r="L90" s="19"/>
      <c r="M90" s="19"/>
    </row>
    <row r="91" spans="1:13" ht="13.8" x14ac:dyDescent="0.25">
      <c r="A91" s="22" t="s">
        <v>12</v>
      </c>
      <c r="B91" s="24"/>
      <c r="C91" s="23"/>
      <c r="D91" s="23"/>
      <c r="E91" s="23"/>
      <c r="F91" s="115" t="s">
        <v>21</v>
      </c>
      <c r="G91" s="115"/>
      <c r="H91" s="115"/>
      <c r="I91" s="115"/>
      <c r="J91" s="115"/>
      <c r="K91" s="115"/>
      <c r="L91" s="115"/>
      <c r="M91" s="19"/>
    </row>
    <row r="92" spans="1:13" ht="13.8" x14ac:dyDescent="0.25">
      <c r="A92" s="25" t="s">
        <v>13</v>
      </c>
      <c r="B92" s="24"/>
      <c r="C92" s="23"/>
      <c r="D92" s="23"/>
      <c r="E92" s="23"/>
      <c r="F92" s="116" t="s">
        <v>22</v>
      </c>
      <c r="G92" s="116"/>
      <c r="H92" s="116"/>
      <c r="I92" s="116"/>
      <c r="J92" s="116"/>
      <c r="K92" s="116"/>
      <c r="L92" s="116"/>
      <c r="M92" s="19"/>
    </row>
    <row r="93" spans="1:13" s="5" customFormat="1" x14ac:dyDescent="0.25">
      <c r="A93" s="20"/>
      <c r="B93" s="17"/>
      <c r="C93" s="65"/>
      <c r="D93" s="110"/>
      <c r="E93" s="110"/>
      <c r="F93" s="17"/>
      <c r="G93" s="17"/>
      <c r="H93" s="17"/>
      <c r="I93" s="17"/>
      <c r="J93" s="17"/>
      <c r="K93" s="17"/>
      <c r="L93" s="17"/>
    </row>
    <row r="94" spans="1:13" s="5" customFormat="1" ht="15" customHeight="1" x14ac:dyDescent="0.25">
      <c r="A94" s="20"/>
      <c r="B94" s="17"/>
      <c r="C94" s="65"/>
      <c r="D94" s="110"/>
      <c r="E94" s="110"/>
      <c r="F94" s="17"/>
      <c r="G94" s="17"/>
      <c r="H94" s="17"/>
      <c r="I94" s="17"/>
      <c r="J94" s="17"/>
      <c r="K94" s="17"/>
      <c r="L94" s="17"/>
    </row>
  </sheetData>
  <mergeCells count="10">
    <mergeCell ref="F89:I89"/>
    <mergeCell ref="F91:L91"/>
    <mergeCell ref="F92:L92"/>
    <mergeCell ref="A6:L6"/>
    <mergeCell ref="A7:L7"/>
    <mergeCell ref="A9:L9"/>
    <mergeCell ref="A10:L10"/>
    <mergeCell ref="B19:B20"/>
    <mergeCell ref="G13:H13"/>
    <mergeCell ref="G11:H11"/>
  </mergeCells>
  <printOptions horizontalCentered="1"/>
  <pageMargins left="0.74803149606299213" right="0.9055118110236221" top="0.35433070866141736" bottom="0.51181102362204722" header="0.31496062992125984" footer="0.31496062992125984"/>
  <pageSetup paperSize="9" scale="74" orientation="landscape" horizontalDpi="300" verticalDpi="30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9"/>
  <sheetViews>
    <sheetView showGridLines="0" view="pageLayout" zoomScaleNormal="85" workbookViewId="0">
      <selection activeCell="F28" sqref="F28"/>
    </sheetView>
  </sheetViews>
  <sheetFormatPr defaultColWidth="9" defaultRowHeight="14.4" x14ac:dyDescent="0.3"/>
  <cols>
    <col min="1" max="1" width="8.33203125" customWidth="1"/>
    <col min="2" max="2" width="35.5546875" customWidth="1"/>
    <col min="3" max="4" width="35.44140625" customWidth="1"/>
    <col min="5" max="5" width="9.6640625" customWidth="1"/>
    <col min="6" max="13" width="10" customWidth="1"/>
    <col min="14" max="14" width="10.6640625" customWidth="1"/>
  </cols>
  <sheetData>
    <row r="1" spans="1:15" x14ac:dyDescent="0.3">
      <c r="B1" s="39" t="s">
        <v>15</v>
      </c>
    </row>
    <row r="2" spans="1:15" ht="15" customHeight="1" x14ac:dyDescent="0.3">
      <c r="B2" s="49" t="s">
        <v>16</v>
      </c>
    </row>
    <row r="3" spans="1:15" ht="12" customHeight="1" x14ac:dyDescent="0.3">
      <c r="B3" s="50" t="s">
        <v>17</v>
      </c>
    </row>
    <row r="5" spans="1:15" x14ac:dyDescent="0.3">
      <c r="A5" s="135" t="s">
        <v>14</v>
      </c>
      <c r="B5" s="135"/>
      <c r="C5" s="135"/>
      <c r="D5" s="135"/>
      <c r="E5" s="135"/>
      <c r="F5" s="135"/>
      <c r="G5" s="40"/>
      <c r="H5" s="40"/>
      <c r="I5" s="40"/>
      <c r="J5" s="40"/>
      <c r="K5" s="40"/>
      <c r="L5" s="40"/>
      <c r="M5" s="40"/>
      <c r="N5" s="40"/>
      <c r="O5" s="40"/>
    </row>
    <row r="6" spans="1:15" x14ac:dyDescent="0.3">
      <c r="A6" s="135" t="s">
        <v>18</v>
      </c>
      <c r="B6" s="135"/>
      <c r="C6" s="135"/>
      <c r="D6" s="135"/>
      <c r="E6" s="135"/>
      <c r="F6" s="135"/>
      <c r="G6" s="40"/>
      <c r="H6" s="40"/>
      <c r="I6" s="40"/>
      <c r="J6" s="40"/>
      <c r="K6" s="40"/>
      <c r="L6" s="40"/>
      <c r="M6" s="40"/>
      <c r="N6" s="40"/>
      <c r="O6" s="40"/>
    </row>
    <row r="7" spans="1:15" x14ac:dyDescent="0.3">
      <c r="A7" s="136" t="s">
        <v>35</v>
      </c>
      <c r="B7" s="136"/>
      <c r="C7" s="136"/>
      <c r="D7" s="136"/>
      <c r="E7" s="136"/>
      <c r="F7" s="136"/>
      <c r="G7" s="51"/>
      <c r="H7" s="51"/>
      <c r="I7" s="51"/>
      <c r="J7" s="51"/>
      <c r="K7" s="51"/>
      <c r="L7" s="51"/>
      <c r="M7" s="51"/>
      <c r="N7" s="51"/>
    </row>
    <row r="8" spans="1:15" ht="11.25" customHeight="1" x14ac:dyDescent="0.3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5" x14ac:dyDescent="0.3">
      <c r="A9" s="52" t="s">
        <v>19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5" x14ac:dyDescent="0.3">
      <c r="A10" s="1" t="s">
        <v>20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25" spans="1:14" ht="27" customHeight="1" x14ac:dyDescent="0.3">
      <c r="A25" s="137"/>
      <c r="B25" s="138"/>
      <c r="C25" s="44" t="s">
        <v>30</v>
      </c>
      <c r="D25" s="3" t="s">
        <v>31</v>
      </c>
    </row>
    <row r="26" spans="1:14" ht="22.5" customHeight="1" x14ac:dyDescent="0.3">
      <c r="A26" s="133" t="s">
        <v>26</v>
      </c>
      <c r="B26" s="134"/>
      <c r="C26" s="60">
        <v>383</v>
      </c>
      <c r="D26" s="4"/>
    </row>
    <row r="27" spans="1:14" ht="28.5" customHeight="1" x14ac:dyDescent="0.3">
      <c r="A27" s="133" t="s">
        <v>27</v>
      </c>
      <c r="B27" s="134"/>
      <c r="C27" s="60">
        <v>380</v>
      </c>
      <c r="D27" s="4"/>
    </row>
    <row r="28" spans="1:14" ht="23.25" customHeight="1" x14ac:dyDescent="0.3">
      <c r="A28" s="124" t="s">
        <v>0</v>
      </c>
      <c r="B28" s="125"/>
      <c r="C28" s="61">
        <v>1</v>
      </c>
      <c r="D28" s="61" t="str">
        <f>IF(OR(D26="",D27=""),"",D26/D27)</f>
        <v/>
      </c>
    </row>
    <row r="29" spans="1:14" ht="22.5" customHeight="1" x14ac:dyDescent="0.3">
      <c r="A29" s="126" t="s">
        <v>1</v>
      </c>
      <c r="B29" s="127"/>
      <c r="C29" s="62">
        <v>1</v>
      </c>
      <c r="D29" s="47">
        <v>1</v>
      </c>
    </row>
    <row r="30" spans="1:14" ht="22.5" customHeight="1" x14ac:dyDescent="0.3">
      <c r="A30" s="128" t="s">
        <v>2</v>
      </c>
      <c r="B30" s="128"/>
      <c r="C30" s="63" t="str">
        <f>IF(C28="","",IF(C28&gt;=C29,"MET","UNMET"))</f>
        <v>MET</v>
      </c>
      <c r="D30" s="48" t="str">
        <f t="shared" ref="D30" si="0">IF(D28="","",IF(D28&gt;=D29,"MET","UNMET"))</f>
        <v/>
      </c>
    </row>
    <row r="31" spans="1:14" ht="9" customHeight="1" x14ac:dyDescent="0.3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0.5" customHeight="1" x14ac:dyDescent="0.3"/>
    <row r="33" spans="1:11" s="5" customFormat="1" ht="13.2" x14ac:dyDescent="0.25">
      <c r="A33" s="5" t="s">
        <v>3</v>
      </c>
      <c r="D33" s="129" t="s">
        <v>4</v>
      </c>
      <c r="E33" s="129"/>
    </row>
    <row r="34" spans="1:11" s="5" customFormat="1" ht="10.5" customHeight="1" x14ac:dyDescent="0.25"/>
    <row r="35" spans="1:11" s="5" customFormat="1" ht="9.75" customHeight="1" x14ac:dyDescent="0.25"/>
    <row r="36" spans="1:11" s="5" customFormat="1" ht="16.5" customHeight="1" x14ac:dyDescent="0.25">
      <c r="A36" s="130" t="s">
        <v>12</v>
      </c>
      <c r="B36" s="130"/>
      <c r="C36" s="43"/>
      <c r="D36" s="43" t="s">
        <v>21</v>
      </c>
      <c r="E36" s="43"/>
      <c r="F36" s="53"/>
      <c r="G36" s="53"/>
    </row>
    <row r="37" spans="1:11" s="5" customFormat="1" ht="12.75" customHeight="1" x14ac:dyDescent="0.25">
      <c r="A37" s="131" t="s">
        <v>13</v>
      </c>
      <c r="B37" s="131"/>
      <c r="C37" s="41"/>
      <c r="D37" s="42" t="s">
        <v>22</v>
      </c>
      <c r="E37" s="132"/>
      <c r="F37" s="132"/>
      <c r="G37" s="132"/>
      <c r="H37" s="132"/>
    </row>
    <row r="38" spans="1:11" ht="3.75" customHeight="1" x14ac:dyDescent="0.3">
      <c r="I38" s="6"/>
      <c r="J38" s="6"/>
      <c r="K38" s="6"/>
    </row>
    <row r="39" spans="1:11" x14ac:dyDescent="0.3">
      <c r="A39" s="45" t="s">
        <v>25</v>
      </c>
      <c r="B39" s="46"/>
      <c r="C39" s="54" t="s">
        <v>23</v>
      </c>
      <c r="D39" s="123" t="s">
        <v>24</v>
      </c>
      <c r="E39" s="123"/>
      <c r="F39" s="123"/>
      <c r="G39" s="46"/>
      <c r="I39" s="46"/>
      <c r="J39" s="46"/>
      <c r="K39" s="46"/>
    </row>
  </sheetData>
  <mergeCells count="14">
    <mergeCell ref="A27:B27"/>
    <mergeCell ref="A5:F5"/>
    <mergeCell ref="A6:F6"/>
    <mergeCell ref="A7:F7"/>
    <mergeCell ref="A25:B25"/>
    <mergeCell ref="A26:B26"/>
    <mergeCell ref="D39:F39"/>
    <mergeCell ref="A28:B28"/>
    <mergeCell ref="A29:B29"/>
    <mergeCell ref="A30:B30"/>
    <mergeCell ref="D33:E33"/>
    <mergeCell ref="A36:B36"/>
    <mergeCell ref="A37:B37"/>
    <mergeCell ref="E37:H37"/>
  </mergeCells>
  <conditionalFormatting sqref="C30:D30">
    <cfRule type="cellIs" dxfId="1" priority="1" operator="equal">
      <formula>"MET"</formula>
    </cfRule>
    <cfRule type="containsText" dxfId="0" priority="2" operator="containsText" text="UN">
      <formula>NOT(ISERROR(SEARCH("UN",C30)))</formula>
    </cfRule>
  </conditionalFormatting>
  <printOptions horizontalCentered="1"/>
  <pageMargins left="0.78125" right="0.29166666666666669" top="0.12864583333333332" bottom="0.3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QO</vt:lpstr>
      <vt:lpstr>PMC June</vt:lpstr>
      <vt:lpstr>QO!Print_Area</vt:lpstr>
      <vt:lpstr>QO!Print_Titles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MIS_4LQY</cp:lastModifiedBy>
  <cp:lastPrinted>2026-08-05T08:22:55Z</cp:lastPrinted>
  <dcterms:created xsi:type="dcterms:W3CDTF">2022-03-16T03:04:58Z</dcterms:created>
  <dcterms:modified xsi:type="dcterms:W3CDTF">2026-08-06T03:28:53Z</dcterms:modified>
</cp:coreProperties>
</file>